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kennedy/Documents/SMU/Stats/Homework/HW10/"/>
    </mc:Choice>
  </mc:AlternateContent>
  <xr:revisionPtr revIDLastSave="0" documentId="13_ncr:1_{E37085BC-70B7-D046-8387-EAA6D3A7C698}" xr6:coauthVersionLast="43" xr6:coauthVersionMax="43" xr10:uidLastSave="{00000000-0000-0000-0000-000000000000}"/>
  <bookViews>
    <workbookView xWindow="3660" yWindow="2100" windowWidth="28040" windowHeight="17440" xr2:uid="{00000000-000D-0000-FFFF-FFFF00000000}"/>
  </bookViews>
  <sheets>
    <sheet name="sleuth_data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8" i="1" l="1"/>
  <c r="C27" i="1"/>
  <c r="B26" i="1"/>
  <c r="C26" i="1"/>
  <c r="N2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K3" i="1"/>
  <c r="K4" i="1"/>
  <c r="K5" i="1"/>
  <c r="K6" i="1"/>
  <c r="K7" i="1"/>
  <c r="K8" i="1"/>
  <c r="L8" i="1" s="1"/>
  <c r="K9" i="1"/>
  <c r="L9" i="1" s="1"/>
  <c r="K10" i="1"/>
  <c r="L10" i="1" s="1"/>
  <c r="K11" i="1"/>
  <c r="K12" i="1"/>
  <c r="K13" i="1"/>
  <c r="K14" i="1"/>
  <c r="K15" i="1"/>
  <c r="K16" i="1"/>
  <c r="L16" i="1" s="1"/>
  <c r="K17" i="1"/>
  <c r="L17" i="1" s="1"/>
  <c r="K18" i="1"/>
  <c r="L18" i="1" s="1"/>
  <c r="K19" i="1"/>
  <c r="K20" i="1"/>
  <c r="K21" i="1"/>
  <c r="K22" i="1"/>
  <c r="L4" i="1"/>
  <c r="L5" i="1"/>
  <c r="L6" i="1"/>
  <c r="L7" i="1"/>
  <c r="L11" i="1"/>
  <c r="L12" i="1"/>
  <c r="L13" i="1"/>
  <c r="L14" i="1"/>
  <c r="L15" i="1"/>
  <c r="L19" i="1"/>
  <c r="L20" i="1"/>
  <c r="L21" i="1"/>
  <c r="L22" i="1"/>
  <c r="K2" i="1"/>
  <c r="L2" i="1" s="1"/>
  <c r="L3" i="1"/>
  <c r="J27" i="1"/>
  <c r="H25" i="1"/>
  <c r="B24" i="1"/>
  <c r="C24" i="1"/>
  <c r="H24" i="1"/>
  <c r="H23" i="1"/>
  <c r="G23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</calcChain>
</file>

<file path=xl/sharedStrings.xml><?xml version="1.0" encoding="utf-8"?>
<sst xmlns="http://schemas.openxmlformats.org/spreadsheetml/2006/main" count="29" uniqueCount="29">
  <si>
    <t>Mass</t>
  </si>
  <si>
    <t>Tcell</t>
  </si>
  <si>
    <t>X-Xb</t>
  </si>
  <si>
    <t>Y-Yb</t>
  </si>
  <si>
    <t>Cross</t>
  </si>
  <si>
    <t>X^2</t>
  </si>
  <si>
    <t>Y^2</t>
  </si>
  <si>
    <t>B1</t>
  </si>
  <si>
    <t>B0</t>
  </si>
  <si>
    <t>Std Error</t>
  </si>
  <si>
    <t>Prediction</t>
  </si>
  <si>
    <t>Resid</t>
  </si>
  <si>
    <t>R2</t>
  </si>
  <si>
    <t>m</t>
  </si>
  <si>
    <t>s</t>
  </si>
  <si>
    <t>std error</t>
  </si>
  <si>
    <t>t</t>
  </si>
  <si>
    <t>p</t>
  </si>
  <si>
    <t>3 0.1860 0.0481 0.0483 0.3236</t>
  </si>
  <si>
    <t>4 0.2188 0.0384 0.1089 0.3287</t>
  </si>
  <si>
    <t>5 0.2516 0.0294 0.1676 0.3356</t>
  </si>
  <si>
    <t>6 0.2844 0.0218 0.2220 0.3469</t>
  </si>
  <si>
    <t>7 0.3172 0.0178 0.2663 0.3682</t>
  </si>
  <si>
    <t>8 0.3501 0.0196 0.2940 0.4062</t>
  </si>
  <si>
    <t>9 0.3829 0.0260 0.3084 0.4574</t>
  </si>
  <si>
    <t>Pred</t>
  </si>
  <si>
    <t>Std</t>
  </si>
  <si>
    <t>Lower</t>
  </si>
  <si>
    <t>Upper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</si>
</sst>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mbria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28"/>
  <sheetViews>
    <sheetView tabSelected="1" workbookViewId="0">
      <selection activeCell="C17" sqref="C17"/>
    </sheetView>
  </sheetViews>
  <sheetFormatPr baseColWidth="10" defaultRowHeight="16" x14ac:dyDescent="0.2"/>
  <sheetData>
    <row r="1" spans="1:20" x14ac:dyDescent="0.2">
      <c r="B1" t="s">
        <v>0</v>
      </c>
      <c r="C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K1" t="s">
        <v>10</v>
      </c>
      <c r="L1" t="s">
        <v>11</v>
      </c>
      <c r="M1" t="s">
        <v>12</v>
      </c>
      <c r="Q1" t="s">
        <v>25</v>
      </c>
      <c r="R1" t="s">
        <v>26</v>
      </c>
      <c r="S1" t="s">
        <v>27</v>
      </c>
      <c r="T1" t="s">
        <v>28</v>
      </c>
    </row>
    <row r="2" spans="1:20" x14ac:dyDescent="0.2">
      <c r="A2">
        <v>1</v>
      </c>
      <c r="B2">
        <v>3.33</v>
      </c>
      <c r="C2">
        <v>0.252</v>
      </c>
      <c r="E2">
        <f>B2-AVERAGE(B$2:B$22)</f>
        <v>-3.8742857142857137</v>
      </c>
      <c r="F2">
        <f>C2-AVERAGE($C$2:$C$22)</f>
        <v>-7.1952380952380934E-2</v>
      </c>
      <c r="G2">
        <f>E2*F2</f>
        <v>0.27876408163265293</v>
      </c>
      <c r="H2">
        <f>E2^2</f>
        <v>15.010089795918363</v>
      </c>
      <c r="I2">
        <f>F2^2</f>
        <v>5.1771451247165506E-3</v>
      </c>
      <c r="K2">
        <f>$H$25+B2*$H$24</f>
        <v>0.1967925480929581</v>
      </c>
      <c r="L2">
        <f>K2-C2</f>
        <v>-5.5207451907041905E-2</v>
      </c>
      <c r="M2">
        <f>L2^2</f>
        <v>3.0478627460683448E-3</v>
      </c>
      <c r="P2" s="1">
        <v>3</v>
      </c>
      <c r="Q2" s="1">
        <v>0.186</v>
      </c>
      <c r="R2" s="1">
        <v>4.8099999999999997E-2</v>
      </c>
      <c r="S2" s="1">
        <v>4.8300000000000003E-2</v>
      </c>
      <c r="T2" s="1">
        <v>0.3236</v>
      </c>
    </row>
    <row r="3" spans="1:20" x14ac:dyDescent="0.2">
      <c r="A3">
        <v>2</v>
      </c>
      <c r="B3">
        <v>4.62</v>
      </c>
      <c r="C3">
        <v>0.26300000000000001</v>
      </c>
      <c r="E3">
        <f t="shared" ref="E3:E22" si="0">B3-AVERAGE(B$2:B$22)</f>
        <v>-2.5842857142857136</v>
      </c>
      <c r="F3">
        <f t="shared" ref="F3:F22" si="1">C3-AVERAGE($C$2:$C$22)</f>
        <v>-6.0952380952380925E-2</v>
      </c>
      <c r="G3">
        <f t="shared" ref="G3:G22" si="2">E3*F3</f>
        <v>0.15751836734693866</v>
      </c>
      <c r="H3">
        <f t="shared" ref="H3:H22" si="3">E3^2</f>
        <v>6.6785326530612208</v>
      </c>
      <c r="I3">
        <f t="shared" ref="I3:I22" si="4">F3^2</f>
        <v>3.7151927437641692E-3</v>
      </c>
      <c r="K3">
        <f t="shared" ref="K3:K22" si="5">$H$25+B3*$H$24</f>
        <v>0.23913227120212435</v>
      </c>
      <c r="L3">
        <f t="shared" ref="L3" si="6">K3-C3</f>
        <v>-2.3867728797875659E-2</v>
      </c>
      <c r="M3">
        <f t="shared" ref="M3:M22" si="7">L3^2</f>
        <v>5.6966847796894302E-4</v>
      </c>
      <c r="P3" s="1">
        <v>4</v>
      </c>
      <c r="Q3" s="1">
        <v>0.21879999999999999</v>
      </c>
      <c r="R3" s="1">
        <v>3.8399999999999997E-2</v>
      </c>
      <c r="S3" s="1">
        <v>0.1089</v>
      </c>
      <c r="T3" s="1">
        <v>0.32869999999999999</v>
      </c>
    </row>
    <row r="4" spans="1:20" x14ac:dyDescent="0.2">
      <c r="A4">
        <v>3</v>
      </c>
      <c r="B4">
        <v>5.43</v>
      </c>
      <c r="C4">
        <v>0.251</v>
      </c>
      <c r="E4">
        <f t="shared" si="0"/>
        <v>-1.774285714285714</v>
      </c>
      <c r="F4">
        <f t="shared" si="1"/>
        <v>-7.2952380952380935E-2</v>
      </c>
      <c r="G4">
        <f t="shared" si="2"/>
        <v>0.12943836734693873</v>
      </c>
      <c r="H4">
        <f t="shared" si="3"/>
        <v>3.1480897959183665</v>
      </c>
      <c r="I4">
        <f t="shared" si="4"/>
        <v>5.3220498866213125E-3</v>
      </c>
      <c r="K4">
        <f t="shared" si="5"/>
        <v>0.26571767873578689</v>
      </c>
      <c r="L4">
        <f t="shared" ref="L4:L22" si="8">K4-C4</f>
        <v>1.4717678735786888E-2</v>
      </c>
      <c r="M4">
        <f t="shared" si="7"/>
        <v>2.1661006736983351E-4</v>
      </c>
      <c r="P4" s="1">
        <v>5</v>
      </c>
      <c r="Q4" s="1">
        <v>0.25159999999999999</v>
      </c>
      <c r="R4" s="1">
        <v>2.9399999999999999E-2</v>
      </c>
      <c r="S4" s="1">
        <v>0.1676</v>
      </c>
      <c r="T4" s="1">
        <v>0.33560000000000001</v>
      </c>
    </row>
    <row r="5" spans="1:20" x14ac:dyDescent="0.2">
      <c r="A5">
        <v>4</v>
      </c>
      <c r="B5">
        <v>5.73</v>
      </c>
      <c r="C5">
        <v>0.251</v>
      </c>
      <c r="E5">
        <f t="shared" si="0"/>
        <v>-1.4742857142857133</v>
      </c>
      <c r="F5">
        <f t="shared" si="1"/>
        <v>-7.2952380952380935E-2</v>
      </c>
      <c r="G5">
        <f t="shared" si="2"/>
        <v>0.1075526530612244</v>
      </c>
      <c r="H5">
        <f t="shared" si="3"/>
        <v>2.173518367346936</v>
      </c>
      <c r="I5">
        <f t="shared" si="4"/>
        <v>5.3220498866213125E-3</v>
      </c>
      <c r="K5">
        <f t="shared" si="5"/>
        <v>0.27556412597047669</v>
      </c>
      <c r="L5">
        <f t="shared" si="8"/>
        <v>2.4564125970476691E-2</v>
      </c>
      <c r="M5">
        <f t="shared" si="7"/>
        <v>6.0339628469344749E-4</v>
      </c>
      <c r="P5" s="1">
        <v>6</v>
      </c>
      <c r="Q5" s="1">
        <v>0.28439999999999999</v>
      </c>
      <c r="R5" s="1">
        <v>2.18E-2</v>
      </c>
      <c r="S5" s="1">
        <v>0.222</v>
      </c>
      <c r="T5" s="1">
        <v>0.34689999999999999</v>
      </c>
    </row>
    <row r="6" spans="1:20" x14ac:dyDescent="0.2">
      <c r="A6">
        <v>5</v>
      </c>
      <c r="B6">
        <v>6.12</v>
      </c>
      <c r="C6">
        <v>0.183</v>
      </c>
      <c r="E6">
        <f t="shared" si="0"/>
        <v>-1.0842857142857136</v>
      </c>
      <c r="F6">
        <f t="shared" si="1"/>
        <v>-0.14095238095238094</v>
      </c>
      <c r="G6">
        <f t="shared" si="2"/>
        <v>0.15283265306122437</v>
      </c>
      <c r="H6">
        <f t="shared" si="3"/>
        <v>1.1756755102040801</v>
      </c>
      <c r="I6">
        <f t="shared" si="4"/>
        <v>1.986757369614512E-2</v>
      </c>
      <c r="K6">
        <f t="shared" si="5"/>
        <v>0.28836450737557345</v>
      </c>
      <c r="L6">
        <f t="shared" si="8"/>
        <v>0.10536450737557346</v>
      </c>
      <c r="M6">
        <f t="shared" si="7"/>
        <v>1.1101679414497273E-2</v>
      </c>
      <c r="P6" s="1">
        <v>7</v>
      </c>
      <c r="Q6" s="1">
        <v>0.31719999999999998</v>
      </c>
      <c r="R6" s="1">
        <v>1.78E-2</v>
      </c>
      <c r="S6" s="1">
        <v>0.26629999999999998</v>
      </c>
      <c r="T6" s="1">
        <v>0.36820000000000003</v>
      </c>
    </row>
    <row r="7" spans="1:20" x14ac:dyDescent="0.2">
      <c r="A7">
        <v>6</v>
      </c>
      <c r="B7">
        <v>6.29</v>
      </c>
      <c r="C7">
        <v>0.21299999999999999</v>
      </c>
      <c r="E7">
        <f t="shared" si="0"/>
        <v>-0.9142857142857137</v>
      </c>
      <c r="F7">
        <f t="shared" si="1"/>
        <v>-0.11095238095238094</v>
      </c>
      <c r="G7">
        <f t="shared" si="2"/>
        <v>0.10144217687074822</v>
      </c>
      <c r="H7">
        <f t="shared" si="3"/>
        <v>0.8359183673469377</v>
      </c>
      <c r="I7">
        <f t="shared" si="4"/>
        <v>1.2310430839002266E-2</v>
      </c>
      <c r="K7">
        <f t="shared" si="5"/>
        <v>0.29394416080856434</v>
      </c>
      <c r="L7">
        <f t="shared" si="8"/>
        <v>8.0944160808564342E-2</v>
      </c>
      <c r="M7">
        <f t="shared" si="7"/>
        <v>6.5519571690027239E-3</v>
      </c>
      <c r="P7" s="1">
        <v>8</v>
      </c>
      <c r="Q7" s="1">
        <v>0.35010000000000002</v>
      </c>
      <c r="R7" s="1">
        <v>1.9599999999999999E-2</v>
      </c>
      <c r="S7" s="1">
        <v>0.29399999999999998</v>
      </c>
      <c r="T7" s="1">
        <v>0.40620000000000001</v>
      </c>
    </row>
    <row r="8" spans="1:20" x14ac:dyDescent="0.2">
      <c r="A8">
        <v>7</v>
      </c>
      <c r="B8">
        <v>6.45</v>
      </c>
      <c r="C8">
        <v>0.33200000000000002</v>
      </c>
      <c r="E8">
        <f t="shared" si="0"/>
        <v>-0.75428571428571356</v>
      </c>
      <c r="F8">
        <f t="shared" si="1"/>
        <v>8.0476190476190812E-3</v>
      </c>
      <c r="G8">
        <f t="shared" si="2"/>
        <v>-6.0702040816326729E-3</v>
      </c>
      <c r="H8">
        <f t="shared" si="3"/>
        <v>0.56894693877550906</v>
      </c>
      <c r="I8">
        <f t="shared" si="4"/>
        <v>6.4764172335601443E-5</v>
      </c>
      <c r="K8">
        <f t="shared" si="5"/>
        <v>0.2991955993337323</v>
      </c>
      <c r="L8">
        <f t="shared" si="8"/>
        <v>-3.2804400666267719E-2</v>
      </c>
      <c r="M8">
        <f t="shared" si="7"/>
        <v>1.076128703073026E-3</v>
      </c>
      <c r="P8" s="1">
        <v>9</v>
      </c>
      <c r="Q8" s="1">
        <v>0.38290000000000002</v>
      </c>
      <c r="R8" s="1">
        <v>2.5999999999999999E-2</v>
      </c>
      <c r="S8" s="1">
        <v>0.30840000000000001</v>
      </c>
      <c r="T8" s="1">
        <v>0.45739999999999997</v>
      </c>
    </row>
    <row r="9" spans="1:20" x14ac:dyDescent="0.2">
      <c r="A9">
        <v>8</v>
      </c>
      <c r="B9">
        <v>6.51</v>
      </c>
      <c r="C9">
        <v>0.20300000000000001</v>
      </c>
      <c r="E9">
        <f t="shared" si="0"/>
        <v>-0.69428571428571395</v>
      </c>
      <c r="F9">
        <f t="shared" si="1"/>
        <v>-0.12095238095238092</v>
      </c>
      <c r="G9">
        <f t="shared" si="2"/>
        <v>8.3975510204081574E-2</v>
      </c>
      <c r="H9">
        <f t="shared" si="3"/>
        <v>0.482032653061224</v>
      </c>
      <c r="I9">
        <f t="shared" si="4"/>
        <v>1.4629478458049879E-2</v>
      </c>
      <c r="K9">
        <f t="shared" si="5"/>
        <v>0.30116488878067021</v>
      </c>
      <c r="L9">
        <f t="shared" si="8"/>
        <v>9.8164888780670201E-2</v>
      </c>
      <c r="M9">
        <f t="shared" si="7"/>
        <v>9.6363453893213505E-3</v>
      </c>
    </row>
    <row r="10" spans="1:20" x14ac:dyDescent="0.2">
      <c r="A10">
        <v>9</v>
      </c>
      <c r="B10">
        <v>6.65</v>
      </c>
      <c r="C10">
        <v>0.252</v>
      </c>
      <c r="E10">
        <f t="shared" si="0"/>
        <v>-0.55428571428571338</v>
      </c>
      <c r="F10">
        <f t="shared" si="1"/>
        <v>-7.1952380952380934E-2</v>
      </c>
      <c r="G10">
        <f t="shared" si="2"/>
        <v>3.9882176870748222E-2</v>
      </c>
      <c r="H10">
        <f t="shared" si="3"/>
        <v>0.30723265306122349</v>
      </c>
      <c r="I10">
        <f t="shared" si="4"/>
        <v>5.1771451247165506E-3</v>
      </c>
      <c r="K10">
        <f t="shared" si="5"/>
        <v>0.30575989749019217</v>
      </c>
      <c r="L10">
        <f t="shared" si="8"/>
        <v>5.3759897490192166E-2</v>
      </c>
      <c r="M10">
        <f t="shared" si="7"/>
        <v>2.89012657815597E-3</v>
      </c>
    </row>
    <row r="11" spans="1:20" x14ac:dyDescent="0.2">
      <c r="A11">
        <v>10</v>
      </c>
      <c r="B11">
        <v>6.75</v>
      </c>
      <c r="C11">
        <v>0.34200000000000003</v>
      </c>
      <c r="E11">
        <f t="shared" si="0"/>
        <v>-0.45428571428571374</v>
      </c>
      <c r="F11">
        <f t="shared" si="1"/>
        <v>1.804761904761909E-2</v>
      </c>
      <c r="G11">
        <f t="shared" si="2"/>
        <v>-8.1987755102040909E-3</v>
      </c>
      <c r="H11">
        <f t="shared" si="3"/>
        <v>0.20637551020408113</v>
      </c>
      <c r="I11">
        <f t="shared" si="4"/>
        <v>3.2571655328798339E-4</v>
      </c>
      <c r="K11">
        <f t="shared" si="5"/>
        <v>0.30904204656842205</v>
      </c>
      <c r="L11">
        <f t="shared" si="8"/>
        <v>-3.295795343157798E-2</v>
      </c>
      <c r="M11">
        <f t="shared" si="7"/>
        <v>1.0862266943980627E-3</v>
      </c>
    </row>
    <row r="12" spans="1:20" x14ac:dyDescent="0.2">
      <c r="A12">
        <v>11</v>
      </c>
      <c r="B12">
        <v>6.81</v>
      </c>
      <c r="C12">
        <v>0.47099999999999997</v>
      </c>
      <c r="E12">
        <f t="shared" si="0"/>
        <v>-0.39428571428571413</v>
      </c>
      <c r="F12">
        <f t="shared" si="1"/>
        <v>0.14704761904761904</v>
      </c>
      <c r="G12">
        <f t="shared" si="2"/>
        <v>-5.7978775510204056E-2</v>
      </c>
      <c r="H12">
        <f t="shared" si="3"/>
        <v>0.1554612244897958</v>
      </c>
      <c r="I12">
        <f t="shared" si="4"/>
        <v>2.1623002267573695E-2</v>
      </c>
      <c r="K12">
        <f t="shared" si="5"/>
        <v>0.31101133601536002</v>
      </c>
      <c r="L12">
        <f t="shared" si="8"/>
        <v>-0.15998866398463996</v>
      </c>
      <c r="M12">
        <f t="shared" si="7"/>
        <v>2.5596372603590031E-2</v>
      </c>
    </row>
    <row r="13" spans="1:20" x14ac:dyDescent="0.2">
      <c r="A13">
        <v>12</v>
      </c>
      <c r="B13">
        <v>7.56</v>
      </c>
      <c r="C13">
        <v>0.43099999999999999</v>
      </c>
      <c r="E13">
        <f t="shared" si="0"/>
        <v>0.35571428571428587</v>
      </c>
      <c r="F13">
        <f t="shared" si="1"/>
        <v>0.10704761904761906</v>
      </c>
      <c r="G13">
        <f t="shared" si="2"/>
        <v>3.8078367346938799E-2</v>
      </c>
      <c r="H13">
        <f t="shared" si="3"/>
        <v>0.1265326530612246</v>
      </c>
      <c r="I13">
        <f t="shared" si="4"/>
        <v>1.1459192743764175E-2</v>
      </c>
      <c r="K13">
        <f t="shared" si="5"/>
        <v>0.33562745410208461</v>
      </c>
      <c r="L13">
        <f t="shared" si="8"/>
        <v>-9.5372545897915384E-2</v>
      </c>
      <c r="M13">
        <f t="shared" si="7"/>
        <v>9.095922511049976E-3</v>
      </c>
    </row>
    <row r="14" spans="1:20" x14ac:dyDescent="0.2">
      <c r="A14">
        <v>13</v>
      </c>
      <c r="B14">
        <v>7.83</v>
      </c>
      <c r="C14">
        <v>0.312</v>
      </c>
      <c r="E14">
        <f t="shared" si="0"/>
        <v>0.62571428571428633</v>
      </c>
      <c r="F14">
        <f t="shared" si="1"/>
        <v>-1.1952380952380937E-2</v>
      </c>
      <c r="G14">
        <f t="shared" si="2"/>
        <v>-7.4787755102040795E-3</v>
      </c>
      <c r="H14">
        <f t="shared" si="3"/>
        <v>0.39151836734693957</v>
      </c>
      <c r="I14">
        <f t="shared" si="4"/>
        <v>1.4285941043083863E-4</v>
      </c>
      <c r="K14">
        <f t="shared" si="5"/>
        <v>0.34448925661330543</v>
      </c>
      <c r="L14">
        <f t="shared" si="8"/>
        <v>3.2489256613305428E-2</v>
      </c>
      <c r="M14">
        <f t="shared" si="7"/>
        <v>1.0555517952852106E-3</v>
      </c>
    </row>
    <row r="15" spans="1:20" x14ac:dyDescent="0.2">
      <c r="A15">
        <v>14</v>
      </c>
      <c r="B15">
        <v>8.02</v>
      </c>
      <c r="C15">
        <v>0.30399999999999999</v>
      </c>
      <c r="E15">
        <f t="shared" si="0"/>
        <v>0.81571428571428584</v>
      </c>
      <c r="F15">
        <f t="shared" si="1"/>
        <v>-1.9952380952380944E-2</v>
      </c>
      <c r="G15">
        <f t="shared" si="2"/>
        <v>-1.6275442176870745E-2</v>
      </c>
      <c r="H15">
        <f t="shared" si="3"/>
        <v>0.66538979591836755</v>
      </c>
      <c r="I15">
        <f t="shared" si="4"/>
        <v>3.980975056689339E-4</v>
      </c>
      <c r="K15">
        <f t="shared" si="5"/>
        <v>0.35072533986194232</v>
      </c>
      <c r="L15">
        <f t="shared" si="8"/>
        <v>4.6725339861942328E-2</v>
      </c>
      <c r="M15">
        <f t="shared" si="7"/>
        <v>2.1832573852140166E-3</v>
      </c>
    </row>
    <row r="16" spans="1:20" x14ac:dyDescent="0.2">
      <c r="A16">
        <v>15</v>
      </c>
      <c r="B16">
        <v>8.06</v>
      </c>
      <c r="C16">
        <v>0.37</v>
      </c>
      <c r="E16">
        <f t="shared" si="0"/>
        <v>0.85571428571428676</v>
      </c>
      <c r="F16">
        <f t="shared" si="1"/>
        <v>4.6047619047619059E-2</v>
      </c>
      <c r="G16">
        <f t="shared" si="2"/>
        <v>3.9403605442176928E-2</v>
      </c>
      <c r="H16">
        <f t="shared" si="3"/>
        <v>0.73224693877551195</v>
      </c>
      <c r="I16">
        <f t="shared" si="4"/>
        <v>2.1203832199546495E-3</v>
      </c>
      <c r="K16">
        <f t="shared" si="5"/>
        <v>0.35203819949323434</v>
      </c>
      <c r="L16">
        <f t="shared" si="8"/>
        <v>-1.7961800506765657E-2</v>
      </c>
      <c r="M16">
        <f t="shared" si="7"/>
        <v>3.22626277444847E-4</v>
      </c>
    </row>
    <row r="17" spans="1:14" x14ac:dyDescent="0.2">
      <c r="A17">
        <v>16</v>
      </c>
      <c r="B17">
        <v>8.18</v>
      </c>
      <c r="C17">
        <v>0.38100000000000001</v>
      </c>
      <c r="E17">
        <f t="shared" si="0"/>
        <v>0.97571428571428598</v>
      </c>
      <c r="F17">
        <f t="shared" si="1"/>
        <v>5.7047619047619069E-2</v>
      </c>
      <c r="G17">
        <f t="shared" si="2"/>
        <v>5.5662176870748335E-2</v>
      </c>
      <c r="H17">
        <f t="shared" si="3"/>
        <v>0.95201836734693934</v>
      </c>
      <c r="I17">
        <f t="shared" si="4"/>
        <v>3.25443083900227E-3</v>
      </c>
      <c r="K17">
        <f t="shared" si="5"/>
        <v>0.35597677838711017</v>
      </c>
      <c r="L17">
        <f t="shared" si="8"/>
        <v>-2.5023221612889834E-2</v>
      </c>
      <c r="M17">
        <f t="shared" si="7"/>
        <v>6.2616161988779688E-4</v>
      </c>
    </row>
    <row r="18" spans="1:14" x14ac:dyDescent="0.2">
      <c r="A18">
        <v>17</v>
      </c>
      <c r="B18">
        <v>9.08</v>
      </c>
      <c r="C18">
        <v>0.43</v>
      </c>
      <c r="E18">
        <f t="shared" si="0"/>
        <v>1.8757142857142863</v>
      </c>
      <c r="F18">
        <f t="shared" si="1"/>
        <v>0.10604761904761906</v>
      </c>
      <c r="G18">
        <f t="shared" si="2"/>
        <v>0.19891503401360552</v>
      </c>
      <c r="H18">
        <f t="shared" si="3"/>
        <v>3.5183040816326554</v>
      </c>
      <c r="I18">
        <f t="shared" si="4"/>
        <v>1.1246097505668936E-2</v>
      </c>
      <c r="K18">
        <f t="shared" si="5"/>
        <v>0.38551612009117975</v>
      </c>
      <c r="L18">
        <f t="shared" si="8"/>
        <v>-4.4483879908820245E-2</v>
      </c>
      <c r="M18">
        <f t="shared" si="7"/>
        <v>1.9788155717423415E-3</v>
      </c>
    </row>
    <row r="19" spans="1:14" x14ac:dyDescent="0.2">
      <c r="A19">
        <v>18</v>
      </c>
      <c r="B19">
        <v>9.15</v>
      </c>
      <c r="C19">
        <v>0.43</v>
      </c>
      <c r="E19">
        <f t="shared" si="0"/>
        <v>1.9457142857142866</v>
      </c>
      <c r="F19">
        <f t="shared" si="1"/>
        <v>0.10604761904761906</v>
      </c>
      <c r="G19">
        <f t="shared" si="2"/>
        <v>0.20633836734693889</v>
      </c>
      <c r="H19">
        <f t="shared" si="3"/>
        <v>3.7858040816326564</v>
      </c>
      <c r="I19">
        <f t="shared" si="4"/>
        <v>1.1246097505668936E-2</v>
      </c>
      <c r="K19">
        <f t="shared" si="5"/>
        <v>0.3878136244459407</v>
      </c>
      <c r="L19">
        <f t="shared" si="8"/>
        <v>-4.2186375554059297E-2</v>
      </c>
      <c r="M19">
        <f t="shared" si="7"/>
        <v>1.7796902823881318E-3</v>
      </c>
    </row>
    <row r="20" spans="1:14" x14ac:dyDescent="0.2">
      <c r="A20">
        <v>19</v>
      </c>
      <c r="B20">
        <v>9.35</v>
      </c>
      <c r="C20">
        <v>0.21299999999999999</v>
      </c>
      <c r="E20">
        <f t="shared" si="0"/>
        <v>2.1457142857142859</v>
      </c>
      <c r="F20">
        <f t="shared" si="1"/>
        <v>-0.11095238095238094</v>
      </c>
      <c r="G20">
        <f t="shared" si="2"/>
        <v>-0.23807210884353741</v>
      </c>
      <c r="H20">
        <f t="shared" si="3"/>
        <v>4.6040897959183678</v>
      </c>
      <c r="I20">
        <f t="shared" si="4"/>
        <v>1.2310430839002266E-2</v>
      </c>
      <c r="K20">
        <f t="shared" si="5"/>
        <v>0.39437792260240057</v>
      </c>
      <c r="L20">
        <f t="shared" si="8"/>
        <v>0.18137792260240057</v>
      </c>
      <c r="M20">
        <f t="shared" si="7"/>
        <v>3.2897950807562415E-2</v>
      </c>
    </row>
    <row r="21" spans="1:14" x14ac:dyDescent="0.2">
      <c r="A21">
        <v>20</v>
      </c>
      <c r="B21">
        <v>9.42</v>
      </c>
      <c r="C21">
        <v>0.50800000000000001</v>
      </c>
      <c r="E21">
        <f t="shared" si="0"/>
        <v>2.2157142857142862</v>
      </c>
      <c r="F21">
        <f t="shared" si="1"/>
        <v>0.18404761904761907</v>
      </c>
      <c r="G21">
        <f t="shared" si="2"/>
        <v>0.40779693877551032</v>
      </c>
      <c r="H21">
        <f t="shared" si="3"/>
        <v>4.9093897959183694</v>
      </c>
      <c r="I21">
        <f t="shared" si="4"/>
        <v>3.3873526077097517E-2</v>
      </c>
      <c r="K21">
        <f t="shared" si="5"/>
        <v>0.39667542695716151</v>
      </c>
      <c r="L21">
        <f t="shared" si="8"/>
        <v>-0.11132457304283849</v>
      </c>
      <c r="M21">
        <f t="shared" si="7"/>
        <v>1.2393160563170283E-2</v>
      </c>
    </row>
    <row r="22" spans="1:14" x14ac:dyDescent="0.2">
      <c r="A22">
        <v>21</v>
      </c>
      <c r="B22">
        <v>9.9499999999999993</v>
      </c>
      <c r="C22">
        <v>0.41099999999999998</v>
      </c>
      <c r="E22">
        <f t="shared" si="0"/>
        <v>2.7457142857142856</v>
      </c>
      <c r="F22">
        <f t="shared" si="1"/>
        <v>8.704761904761904E-2</v>
      </c>
      <c r="G22">
        <f t="shared" si="2"/>
        <v>0.23900789115646254</v>
      </c>
      <c r="H22">
        <f t="shared" si="3"/>
        <v>7.538946938775509</v>
      </c>
      <c r="I22">
        <f t="shared" si="4"/>
        <v>7.5772879818594091E-3</v>
      </c>
      <c r="K22">
        <f t="shared" si="5"/>
        <v>0.41407081707178017</v>
      </c>
      <c r="L22">
        <f t="shared" si="8"/>
        <v>3.0708170717801964E-3</v>
      </c>
      <c r="M22">
        <f t="shared" si="7"/>
        <v>9.429917488336699E-6</v>
      </c>
      <c r="N22">
        <f>SUM(M2:M22)</f>
        <v>0.12471894085937238</v>
      </c>
    </row>
    <row r="23" spans="1:14" x14ac:dyDescent="0.2">
      <c r="G23">
        <f>SUM(G2:G22)</f>
        <v>1.9025342857142855</v>
      </c>
      <c r="H23">
        <f>SUM(H2:H22)</f>
        <v>57.966114285714283</v>
      </c>
      <c r="J23" t="s">
        <v>9</v>
      </c>
      <c r="K23" t="s">
        <v>16</v>
      </c>
      <c r="L23" t="s">
        <v>17</v>
      </c>
    </row>
    <row r="24" spans="1:14" x14ac:dyDescent="0.2">
      <c r="A24" t="s">
        <v>13</v>
      </c>
      <c r="B24">
        <f>AVERAGE(B2:B22)</f>
        <v>7.2042857142857137</v>
      </c>
      <c r="C24">
        <f>AVERAGE(C2:C22)</f>
        <v>0.32395238095238094</v>
      </c>
      <c r="G24" t="s">
        <v>7</v>
      </c>
      <c r="H24">
        <f>G23/H23</f>
        <v>3.2821490782299408E-2</v>
      </c>
      <c r="J24">
        <v>1.06E-2</v>
      </c>
      <c r="K24">
        <v>1.1121000000000001</v>
      </c>
      <c r="L24">
        <v>0.28000000000000003</v>
      </c>
    </row>
    <row r="25" spans="1:14" x14ac:dyDescent="0.2">
      <c r="G25" t="s">
        <v>8</v>
      </c>
      <c r="H25">
        <f>C24-B24*H24</f>
        <v>8.7496983787901078E-2</v>
      </c>
      <c r="J25">
        <v>7.8700000000000006E-2</v>
      </c>
      <c r="K25">
        <v>3.0842999999999998</v>
      </c>
      <c r="L25">
        <v>6.1000000000000004E-3</v>
      </c>
    </row>
    <row r="26" spans="1:14" x14ac:dyDescent="0.2">
      <c r="A26" t="s">
        <v>14</v>
      </c>
      <c r="B26">
        <f>_xlfn.STDEV.S(B2:B22)</f>
        <v>1.7024411044983967</v>
      </c>
      <c r="C26">
        <f>_xlfn.STDEV.S(C2:C22)</f>
        <v>9.6737519190062196E-2</v>
      </c>
    </row>
    <row r="27" spans="1:14" x14ac:dyDescent="0.2">
      <c r="C27">
        <f>_xlfn.STDEV.P(C2:C22)</f>
        <v>9.4406152034441831E-2</v>
      </c>
      <c r="J27">
        <f>_xlfn.STDEV.P(B2:B22)</f>
        <v>1.6614123980705682</v>
      </c>
    </row>
    <row r="28" spans="1:14" x14ac:dyDescent="0.2">
      <c r="A28" t="s">
        <v>15</v>
      </c>
      <c r="B28">
        <f>SQRT(N22/19)</f>
        <v>8.1019471623013137E-2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AC4F-8703-B441-A492-DEA7AB9266BF}">
  <dimension ref="D32:D38"/>
  <sheetViews>
    <sheetView workbookViewId="0">
      <selection activeCell="C36" sqref="C36"/>
    </sheetView>
  </sheetViews>
  <sheetFormatPr baseColWidth="10" defaultRowHeight="16" x14ac:dyDescent="0.2"/>
  <sheetData>
    <row r="32" spans="4:4" x14ac:dyDescent="0.2">
      <c r="D32" t="s">
        <v>18</v>
      </c>
    </row>
    <row r="33" spans="4:4" x14ac:dyDescent="0.2">
      <c r="D33" t="s">
        <v>19</v>
      </c>
    </row>
    <row r="34" spans="4:4" x14ac:dyDescent="0.2">
      <c r="D34" t="s">
        <v>20</v>
      </c>
    </row>
    <row r="35" spans="4:4" x14ac:dyDescent="0.2">
      <c r="D35" t="s">
        <v>21</v>
      </c>
    </row>
    <row r="36" spans="4:4" x14ac:dyDescent="0.2">
      <c r="D36" t="s">
        <v>22</v>
      </c>
    </row>
    <row r="37" spans="4:4" x14ac:dyDescent="0.2">
      <c r="D37" t="s">
        <v>23</v>
      </c>
    </row>
    <row r="38" spans="4:4" x14ac:dyDescent="0.2">
      <c r="D38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sleuth_data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Kennedy</dc:creator>
  <cp:lastModifiedBy>Sean Kennedy</cp:lastModifiedBy>
  <dcterms:created xsi:type="dcterms:W3CDTF">2019-08-21T00:24:22Z</dcterms:created>
  <dcterms:modified xsi:type="dcterms:W3CDTF">2019-08-21T14:15:46Z</dcterms:modified>
</cp:coreProperties>
</file>