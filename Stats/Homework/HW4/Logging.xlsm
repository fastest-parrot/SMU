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ennedy/Documents/SMU/Stats/Homework/HW4/"/>
    </mc:Choice>
  </mc:AlternateContent>
  <xr:revisionPtr revIDLastSave="0" documentId="8_{2B7E3A69-0B99-E441-93F4-BD569DF55979}" xr6:coauthVersionLast="43" xr6:coauthVersionMax="43" xr10:uidLastSave="{00000000-0000-0000-0000-000000000000}"/>
  <bookViews>
    <workbookView xWindow="0" yWindow="460" windowWidth="33600" windowHeight="19160"/>
  </bookViews>
  <sheets>
    <sheet name="Loggin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" i="1" l="1"/>
  <c r="D2" i="1"/>
  <c r="E12" i="1" s="1"/>
  <c r="D18" i="1"/>
  <c r="G3" i="1"/>
  <c r="G2" i="1"/>
  <c r="D8" i="1"/>
  <c r="E6" i="1"/>
  <c r="D6" i="1"/>
  <c r="E3" i="1"/>
  <c r="D3" i="1"/>
  <c r="C18" i="1"/>
  <c r="E2" i="1"/>
</calcChain>
</file>

<file path=xl/sharedStrings.xml><?xml version="1.0" encoding="utf-8"?>
<sst xmlns="http://schemas.openxmlformats.org/spreadsheetml/2006/main" count="18" uniqueCount="4">
  <si>
    <t>Action</t>
  </si>
  <si>
    <t>PercentLost</t>
  </si>
  <si>
    <t>L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</si>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</sst>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tabSelected="1" workbookViewId="0">
      <selection activeCell="F15" sqref="F15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</row>
    <row r="2" spans="1:8" x14ac:dyDescent="0.2">
      <c r="A2" t="s">
        <v>3</v>
      </c>
      <c r="B2">
        <v>-20.100000000000001</v>
      </c>
      <c r="C2">
        <v>1</v>
      </c>
      <c r="D2">
        <f>SUMIFS($C$2:$C$17,$A$2:$A$17,"U")+0.5</f>
        <v>36.5</v>
      </c>
      <c r="E2">
        <f>SUMIFS($C$2:$C$17,$A$2:$A$17,"L")</f>
        <v>100</v>
      </c>
      <c r="G2">
        <f>AVERAGEIFS($C$2:$C$17,$A$2:$A$17,"U")</f>
        <v>5.1428571428571432</v>
      </c>
    </row>
    <row r="3" spans="1:8" x14ac:dyDescent="0.2">
      <c r="A3" t="s">
        <v>3</v>
      </c>
      <c r="B3">
        <v>-8.1</v>
      </c>
      <c r="C3">
        <v>2</v>
      </c>
      <c r="D3">
        <f>COUNTIFS($A$2:$A$17,"U")*$C$18</f>
        <v>59.5</v>
      </c>
      <c r="E3">
        <f>COUNTIFS($A$2:$A$17,"L")*$C$18</f>
        <v>76.5</v>
      </c>
      <c r="G3">
        <f>AVERAGEIFS($C$2:$C$17,$A$2:$A$17,"L")</f>
        <v>11.111111111111111</v>
      </c>
    </row>
    <row r="4" spans="1:8" x14ac:dyDescent="0.2">
      <c r="A4" t="s">
        <v>3</v>
      </c>
      <c r="B4">
        <v>13.3</v>
      </c>
      <c r="C4">
        <v>3</v>
      </c>
    </row>
    <row r="5" spans="1:8" x14ac:dyDescent="0.2">
      <c r="A5" t="s">
        <v>3</v>
      </c>
      <c r="B5">
        <v>18.100000000000001</v>
      </c>
      <c r="C5">
        <v>4</v>
      </c>
    </row>
    <row r="6" spans="1:8" x14ac:dyDescent="0.2">
      <c r="A6" t="s">
        <v>2</v>
      </c>
      <c r="B6">
        <v>18.2</v>
      </c>
      <c r="C6">
        <v>5</v>
      </c>
      <c r="D6">
        <f>COUNTIFS($A$2:$A$17,"U")</f>
        <v>7</v>
      </c>
      <c r="E6">
        <f>COUNTIFS($A$2:$A$17,"L")</f>
        <v>9</v>
      </c>
    </row>
    <row r="7" spans="1:8" x14ac:dyDescent="0.2">
      <c r="A7" t="s">
        <v>3</v>
      </c>
      <c r="B7">
        <v>23.6</v>
      </c>
      <c r="C7">
        <v>6</v>
      </c>
    </row>
    <row r="8" spans="1:8" x14ac:dyDescent="0.2">
      <c r="A8" t="s">
        <v>3</v>
      </c>
      <c r="B8">
        <v>34.200000000000003</v>
      </c>
      <c r="C8">
        <v>7</v>
      </c>
      <c r="D8">
        <f>SQRT((D6*E6)/(D6+E6))*_xlfn.STDEV.S($C$2:$C$17)</f>
        <v>9.4472218138455926</v>
      </c>
    </row>
    <row r="9" spans="1:8" x14ac:dyDescent="0.2">
      <c r="A9" t="s">
        <v>2</v>
      </c>
      <c r="B9">
        <v>40.799999999999997</v>
      </c>
      <c r="C9">
        <v>8</v>
      </c>
      <c r="H9">
        <f>2*(0.05*D6*E6+0.5*D6*(D6+1))-D2-0.5</f>
        <v>25.299999999999997</v>
      </c>
    </row>
    <row r="10" spans="1:8" x14ac:dyDescent="0.2">
      <c r="A10" t="s">
        <v>2</v>
      </c>
      <c r="B10">
        <v>43.2</v>
      </c>
      <c r="C10">
        <v>9</v>
      </c>
    </row>
    <row r="11" spans="1:8" x14ac:dyDescent="0.2">
      <c r="A11" t="s">
        <v>2</v>
      </c>
      <c r="B11">
        <v>45</v>
      </c>
      <c r="C11">
        <v>10</v>
      </c>
    </row>
    <row r="12" spans="1:8" x14ac:dyDescent="0.2">
      <c r="A12" t="s">
        <v>2</v>
      </c>
      <c r="B12">
        <v>46.7</v>
      </c>
      <c r="C12">
        <v>11</v>
      </c>
      <c r="E12">
        <f>(D2-D3)/D8</f>
        <v>-2.4345781705148304</v>
      </c>
    </row>
    <row r="13" spans="1:8" x14ac:dyDescent="0.2">
      <c r="A13" t="s">
        <v>2</v>
      </c>
      <c r="B13">
        <v>53.1</v>
      </c>
      <c r="C13">
        <v>12</v>
      </c>
    </row>
    <row r="14" spans="1:8" x14ac:dyDescent="0.2">
      <c r="A14" t="s">
        <v>3</v>
      </c>
      <c r="B14">
        <v>56.1</v>
      </c>
      <c r="C14">
        <v>13</v>
      </c>
    </row>
    <row r="15" spans="1:8" x14ac:dyDescent="0.2">
      <c r="A15" t="s">
        <v>2</v>
      </c>
      <c r="B15">
        <v>75.5</v>
      </c>
      <c r="C15">
        <v>14</v>
      </c>
    </row>
    <row r="16" spans="1:8" x14ac:dyDescent="0.2">
      <c r="A16" t="s">
        <v>2</v>
      </c>
      <c r="B16">
        <v>85.4</v>
      </c>
      <c r="C16">
        <v>15</v>
      </c>
    </row>
    <row r="17" spans="1:4" x14ac:dyDescent="0.2">
      <c r="A17" t="s">
        <v>2</v>
      </c>
      <c r="B17">
        <v>85.6</v>
      </c>
      <c r="C17">
        <v>16</v>
      </c>
    </row>
    <row r="18" spans="1:4" x14ac:dyDescent="0.2">
      <c r="C18">
        <f>AVERAGE(C2:C17)</f>
        <v>8.5</v>
      </c>
      <c r="D18">
        <f>C18*COUNTA(C2:C17)</f>
        <v>136</v>
      </c>
    </row>
  </sheetData>
  <sortState xmlns:xlrd2="http://schemas.microsoft.com/office/spreadsheetml/2017/richdata2" ref="A2:B17">
    <sortCondition ref="B2:B17"/>
  </sortState>
  <pageMargins left="0.75" right="0.75" top="1" bottom="1" header="0.5" footer="0.5"/>
</worksheet>
</file>