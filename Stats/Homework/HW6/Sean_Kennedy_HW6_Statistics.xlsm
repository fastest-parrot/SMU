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kennedy/Documents/SMU/Stats/Homework/HW6/"/>
    </mc:Choice>
  </mc:AlternateContent>
  <xr:revisionPtr revIDLastSave="0" documentId="13_ncr:40009_{9F576301-744A-9B43-A9D2-7E944F0EFDC9}" xr6:coauthVersionLast="43" xr6:coauthVersionMax="43" xr10:uidLastSave="{00000000-0000-0000-0000-000000000000}"/>
  <bookViews>
    <workbookView xWindow="0" yWindow="460" windowWidth="33600" windowHeight="19460"/>
  </bookViews>
  <sheets>
    <sheet name="Sean_Kennedy_HW6_Statistics" sheetId="1" r:id="rId1"/>
    <sheet name="LS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1" l="1"/>
  <c r="F22" i="1"/>
  <c r="F23" i="1"/>
  <c r="F21" i="1"/>
  <c r="E23" i="1"/>
  <c r="E22" i="1"/>
  <c r="E21" i="1"/>
  <c r="D23" i="1"/>
  <c r="D22" i="1"/>
  <c r="D21" i="1"/>
  <c r="C11" i="1"/>
  <c r="F5" i="1"/>
  <c r="F6" i="1"/>
  <c r="F7" i="1"/>
  <c r="F8" i="1"/>
  <c r="F4" i="1"/>
  <c r="D2" i="1"/>
  <c r="D8" i="1"/>
  <c r="D7" i="1"/>
  <c r="D6" i="1"/>
  <c r="D5" i="1"/>
  <c r="D4" i="1"/>
  <c r="E8" i="1"/>
  <c r="E7" i="1"/>
  <c r="E6" i="1"/>
  <c r="E5" i="1"/>
  <c r="E4" i="1"/>
  <c r="C2" i="1"/>
</calcChain>
</file>

<file path=xl/sharedStrings.xml><?xml version="1.0" encoding="utf-8"?>
<sst xmlns="http://schemas.openxmlformats.org/spreadsheetml/2006/main" count="92" uniqueCount="22">
  <si>
    <t>Score</t>
  </si>
  <si>
    <t>Handicap</t>
  </si>
  <si>
    <t>None</t>
  </si>
  <si>
    <t>Amputee</t>
  </si>
  <si>
    <t>Crutches</t>
  </si>
  <si>
    <t>Hearing</t>
  </si>
  <si>
    <t>Wheelchair</t>
  </si>
  <si>
    <t>s</t>
  </si>
  <si>
    <t>Sample DF</t>
  </si>
  <si>
    <t>Sample Std Dev</t>
  </si>
  <si>
    <t>s-pooled</t>
  </si>
  <si>
    <t>Standard Error for any two comparisons (all sample sizes are equal)</t>
  </si>
  <si>
    <t>Group Mean s</t>
  </si>
  <si>
    <t>t-critical</t>
  </si>
  <si>
    <t>m2-m3</t>
  </si>
  <si>
    <t>m2-m5</t>
  </si>
  <si>
    <t>m3-m5</t>
  </si>
  <si>
    <t>t-critical (bf)</t>
  </si>
  <si>
    <t>95% CL interval width (bf)</t>
  </si>
  <si>
    <t>95% CL Lower</t>
  </si>
  <si>
    <t>95% CL Upper</t>
  </si>
  <si>
    <t>LSD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</si>
</sst>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8" formatCode="0.0000"/>
    <numFmt numFmtId="169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1"/>
  <sheetViews>
    <sheetView tabSelected="1" workbookViewId="0">
      <selection activeCell="E16" sqref="E16"/>
    </sheetView>
  </sheetViews>
  <sheetFormatPr baseColWidth="10" defaultRowHeight="16" x14ac:dyDescent="0.2"/>
  <cols>
    <col min="1" max="1" width="5.6640625" bestFit="1" customWidth="1"/>
    <col min="2" max="2" width="10.5" bestFit="1" customWidth="1"/>
    <col min="3" max="3" width="22.6640625" style="1" bestFit="1" customWidth="1"/>
    <col min="4" max="4" width="10" style="1" bestFit="1" customWidth="1"/>
    <col min="5" max="5" width="17.5" style="1" bestFit="1" customWidth="1"/>
    <col min="6" max="6" width="18.83203125" style="1" bestFit="1" customWidth="1"/>
  </cols>
  <sheetData>
    <row r="1" spans="1:6" x14ac:dyDescent="0.2">
      <c r="A1" t="s">
        <v>0</v>
      </c>
      <c r="B1" t="s">
        <v>1</v>
      </c>
      <c r="C1" s="1" t="s">
        <v>7</v>
      </c>
      <c r="D1" s="1" t="s">
        <v>10</v>
      </c>
    </row>
    <row r="2" spans="1:6" x14ac:dyDescent="0.2">
      <c r="A2">
        <v>1.9</v>
      </c>
      <c r="B2" t="s">
        <v>2</v>
      </c>
      <c r="C2" s="3">
        <f>_xlfn.STDEV.P(A2:A71)</f>
        <v>1.7064702799423541</v>
      </c>
      <c r="D2" s="5">
        <f>SQRT(((D4*E4^2+D5*E5^2 + D6*E6^2+D7*E7^2+D8*E8^2)/(D4+D5+D6+D7+D8)))</f>
        <v>1.6329370828306622</v>
      </c>
    </row>
    <row r="3" spans="1:6" x14ac:dyDescent="0.2">
      <c r="A3">
        <v>2.5</v>
      </c>
      <c r="B3" t="s">
        <v>2</v>
      </c>
      <c r="D3" s="1" t="s">
        <v>8</v>
      </c>
      <c r="E3" s="1" t="s">
        <v>9</v>
      </c>
      <c r="F3" s="1" t="s">
        <v>12</v>
      </c>
    </row>
    <row r="4" spans="1:6" x14ac:dyDescent="0.2">
      <c r="A4">
        <v>3</v>
      </c>
      <c r="B4" t="s">
        <v>2</v>
      </c>
      <c r="C4" s="1" t="s">
        <v>2</v>
      </c>
      <c r="D4" s="1">
        <f>COUNTIFS(B:B,C4)-1</f>
        <v>13</v>
      </c>
      <c r="E4" s="3">
        <f>_xlfn.STDEV.S(A2:A15)</f>
        <v>1.7935782884845222</v>
      </c>
      <c r="F4" s="4">
        <f>AVERAGEIF(B:B,C4,A:A)</f>
        <v>4.9000000000000004</v>
      </c>
    </row>
    <row r="5" spans="1:6" x14ac:dyDescent="0.2">
      <c r="A5">
        <v>3.6</v>
      </c>
      <c r="B5" t="s">
        <v>2</v>
      </c>
      <c r="C5" s="1" t="s">
        <v>3</v>
      </c>
      <c r="D5" s="1">
        <f>COUNTIFS(B:B,C5)-1</f>
        <v>13</v>
      </c>
      <c r="E5" s="3">
        <f>_xlfn.STDEV.S(A16:A29)</f>
        <v>1.58571923571151</v>
      </c>
      <c r="F5" s="4">
        <f t="shared" ref="F5:F8" si="0">AVERAGEIF(B:B,C5,A:A)</f>
        <v>4.4285714285714288</v>
      </c>
    </row>
    <row r="6" spans="1:6" x14ac:dyDescent="0.2">
      <c r="A6">
        <v>4.0999999999999996</v>
      </c>
      <c r="B6" t="s">
        <v>2</v>
      </c>
      <c r="C6" s="1" t="s">
        <v>4</v>
      </c>
      <c r="D6" s="1">
        <f>COUNTIFS(B:B,C6)-1</f>
        <v>13</v>
      </c>
      <c r="E6" s="3">
        <f>_xlfn.STDEV.S(A30:A43)</f>
        <v>1.4817757389899908</v>
      </c>
      <c r="F6" s="4">
        <f t="shared" si="0"/>
        <v>5.9214285714285717</v>
      </c>
    </row>
    <row r="7" spans="1:6" x14ac:dyDescent="0.2">
      <c r="A7">
        <v>4.2</v>
      </c>
      <c r="B7" t="s">
        <v>2</v>
      </c>
      <c r="C7" s="1" t="s">
        <v>5</v>
      </c>
      <c r="D7" s="1">
        <f>COUNTIFS(B:B,C7)-1</f>
        <v>13</v>
      </c>
      <c r="E7" s="3">
        <f>_xlfn.STDEV.S(A44:A57)</f>
        <v>1.5325945823492113</v>
      </c>
      <c r="F7" s="4">
        <f t="shared" si="0"/>
        <v>4.05</v>
      </c>
    </row>
    <row r="8" spans="1:6" x14ac:dyDescent="0.2">
      <c r="A8">
        <v>4.9000000000000004</v>
      </c>
      <c r="B8" t="s">
        <v>2</v>
      </c>
      <c r="C8" s="1" t="s">
        <v>6</v>
      </c>
      <c r="D8" s="1">
        <f>COUNTIFS(B:B,C8)-1</f>
        <v>13</v>
      </c>
      <c r="E8" s="3">
        <f>_xlfn.STDEV.S(A58:A71)</f>
        <v>1.7482801596092989</v>
      </c>
      <c r="F8" s="4">
        <f t="shared" si="0"/>
        <v>5.3428571428571425</v>
      </c>
    </row>
    <row r="9" spans="1:6" x14ac:dyDescent="0.2">
      <c r="A9">
        <v>5.0999999999999996</v>
      </c>
      <c r="B9" t="s">
        <v>2</v>
      </c>
    </row>
    <row r="10" spans="1:6" x14ac:dyDescent="0.2">
      <c r="A10">
        <v>5.4</v>
      </c>
      <c r="B10" t="s">
        <v>2</v>
      </c>
      <c r="C10" s="2" t="s">
        <v>11</v>
      </c>
      <c r="D10" s="2"/>
      <c r="E10" s="2"/>
      <c r="F10" s="2"/>
    </row>
    <row r="11" spans="1:6" x14ac:dyDescent="0.2">
      <c r="A11">
        <v>5.9</v>
      </c>
      <c r="B11" t="s">
        <v>2</v>
      </c>
      <c r="C11" s="3">
        <f>D2*SQRT((1/(D4+1))+(1/(D5+1)))</f>
        <v>0.61719220396931607</v>
      </c>
    </row>
    <row r="12" spans="1:6" x14ac:dyDescent="0.2">
      <c r="A12">
        <v>6.1</v>
      </c>
      <c r="B12" t="s">
        <v>2</v>
      </c>
    </row>
    <row r="13" spans="1:6" x14ac:dyDescent="0.2">
      <c r="A13">
        <v>6.7</v>
      </c>
      <c r="B13" t="s">
        <v>2</v>
      </c>
    </row>
    <row r="14" spans="1:6" x14ac:dyDescent="0.2">
      <c r="A14">
        <v>7.4</v>
      </c>
      <c r="B14" t="s">
        <v>2</v>
      </c>
    </row>
    <row r="15" spans="1:6" x14ac:dyDescent="0.2">
      <c r="A15">
        <v>7.8</v>
      </c>
      <c r="B15" t="s">
        <v>2</v>
      </c>
    </row>
    <row r="16" spans="1:6" x14ac:dyDescent="0.2">
      <c r="A16">
        <v>1.9</v>
      </c>
      <c r="B16" t="s">
        <v>3</v>
      </c>
    </row>
    <row r="17" spans="1:6" x14ac:dyDescent="0.2">
      <c r="A17">
        <v>2.5</v>
      </c>
      <c r="B17" t="s">
        <v>3</v>
      </c>
      <c r="C17" s="1" t="s">
        <v>17</v>
      </c>
      <c r="D17" s="1">
        <v>2.4580000000000002</v>
      </c>
    </row>
    <row r="18" spans="1:6" x14ac:dyDescent="0.2">
      <c r="A18">
        <v>2.6</v>
      </c>
      <c r="B18" t="s">
        <v>3</v>
      </c>
      <c r="C18" s="1" t="s">
        <v>18</v>
      </c>
      <c r="D18" s="3">
        <f>C11*D17</f>
        <v>1.517058437356579</v>
      </c>
    </row>
    <row r="19" spans="1:6" x14ac:dyDescent="0.2">
      <c r="A19">
        <v>3.2</v>
      </c>
      <c r="B19" t="s">
        <v>3</v>
      </c>
    </row>
    <row r="20" spans="1:6" x14ac:dyDescent="0.2">
      <c r="A20">
        <v>3.6</v>
      </c>
      <c r="B20" t="s">
        <v>3</v>
      </c>
      <c r="E20" s="1" t="s">
        <v>19</v>
      </c>
      <c r="F20" s="1" t="s">
        <v>20</v>
      </c>
    </row>
    <row r="21" spans="1:6" x14ac:dyDescent="0.2">
      <c r="A21">
        <v>3.8</v>
      </c>
      <c r="B21" t="s">
        <v>3</v>
      </c>
      <c r="C21" s="1" t="s">
        <v>14</v>
      </c>
      <c r="D21" s="4">
        <f>F5-F6</f>
        <v>-1.4928571428571429</v>
      </c>
      <c r="E21" s="3">
        <f>D21-$D$18</f>
        <v>-3.0099155802137219</v>
      </c>
      <c r="F21" s="5">
        <f>D21+D18</f>
        <v>2.4201294499436088E-2</v>
      </c>
    </row>
    <row r="22" spans="1:6" x14ac:dyDescent="0.2">
      <c r="A22">
        <v>4</v>
      </c>
      <c r="B22" t="s">
        <v>3</v>
      </c>
      <c r="C22" s="1" t="s">
        <v>15</v>
      </c>
      <c r="D22" s="4">
        <f>F5-F8</f>
        <v>-0.9142857142857137</v>
      </c>
      <c r="E22" s="3">
        <f>D22-$D$18</f>
        <v>-2.4313441516422927</v>
      </c>
      <c r="F22" s="5">
        <f t="shared" ref="F22:F23" si="1">D22+D19</f>
        <v>-0.9142857142857137</v>
      </c>
    </row>
    <row r="23" spans="1:6" x14ac:dyDescent="0.2">
      <c r="A23">
        <v>4.5999999999999996</v>
      </c>
      <c r="B23" t="s">
        <v>3</v>
      </c>
      <c r="C23" s="1" t="s">
        <v>16</v>
      </c>
      <c r="D23" s="4">
        <f>F6-F8</f>
        <v>0.57857142857142918</v>
      </c>
      <c r="E23" s="3">
        <f>D23-$D$18</f>
        <v>-0.93848700878514979</v>
      </c>
      <c r="F23" s="5">
        <f t="shared" si="1"/>
        <v>0.57857142857142918</v>
      </c>
    </row>
    <row r="24" spans="1:6" x14ac:dyDescent="0.2">
      <c r="A24">
        <v>5.3</v>
      </c>
      <c r="B24" t="s">
        <v>3</v>
      </c>
    </row>
    <row r="25" spans="1:6" x14ac:dyDescent="0.2">
      <c r="A25">
        <v>5.5</v>
      </c>
      <c r="B25" t="s">
        <v>3</v>
      </c>
    </row>
    <row r="26" spans="1:6" x14ac:dyDescent="0.2">
      <c r="A26">
        <v>5.8</v>
      </c>
      <c r="B26" t="s">
        <v>3</v>
      </c>
    </row>
    <row r="27" spans="1:6" x14ac:dyDescent="0.2">
      <c r="A27">
        <v>5.9</v>
      </c>
      <c r="B27" t="s">
        <v>3</v>
      </c>
      <c r="C27" s="1" t="s">
        <v>21</v>
      </c>
    </row>
    <row r="28" spans="1:6" x14ac:dyDescent="0.2">
      <c r="A28">
        <v>6.1</v>
      </c>
      <c r="B28" t="s">
        <v>3</v>
      </c>
      <c r="C28" s="1" t="s">
        <v>13</v>
      </c>
    </row>
    <row r="29" spans="1:6" x14ac:dyDescent="0.2">
      <c r="A29">
        <v>7.2</v>
      </c>
      <c r="B29" t="s">
        <v>3</v>
      </c>
    </row>
    <row r="30" spans="1:6" x14ac:dyDescent="0.2">
      <c r="A30">
        <v>3.7</v>
      </c>
      <c r="B30" t="s">
        <v>4</v>
      </c>
    </row>
    <row r="31" spans="1:6" x14ac:dyDescent="0.2">
      <c r="A31">
        <v>4</v>
      </c>
      <c r="B31" t="s">
        <v>4</v>
      </c>
    </row>
    <row r="32" spans="1:6" x14ac:dyDescent="0.2">
      <c r="A32">
        <v>4.3</v>
      </c>
      <c r="B32" t="s">
        <v>4</v>
      </c>
    </row>
    <row r="33" spans="1:2" x14ac:dyDescent="0.2">
      <c r="A33">
        <v>4.3</v>
      </c>
      <c r="B33" t="s">
        <v>4</v>
      </c>
    </row>
    <row r="34" spans="1:2" x14ac:dyDescent="0.2">
      <c r="A34">
        <v>5.0999999999999996</v>
      </c>
      <c r="B34" t="s">
        <v>4</v>
      </c>
    </row>
    <row r="35" spans="1:2" x14ac:dyDescent="0.2">
      <c r="A35">
        <v>5.8</v>
      </c>
      <c r="B35" t="s">
        <v>4</v>
      </c>
    </row>
    <row r="36" spans="1:2" x14ac:dyDescent="0.2">
      <c r="A36">
        <v>6</v>
      </c>
      <c r="B36" t="s">
        <v>4</v>
      </c>
    </row>
    <row r="37" spans="1:2" x14ac:dyDescent="0.2">
      <c r="A37">
        <v>6.2</v>
      </c>
      <c r="B37" t="s">
        <v>4</v>
      </c>
    </row>
    <row r="38" spans="1:2" x14ac:dyDescent="0.2">
      <c r="A38">
        <v>6.3</v>
      </c>
      <c r="B38" t="s">
        <v>4</v>
      </c>
    </row>
    <row r="39" spans="1:2" x14ac:dyDescent="0.2">
      <c r="A39">
        <v>6.4</v>
      </c>
      <c r="B39" t="s">
        <v>4</v>
      </c>
    </row>
    <row r="40" spans="1:2" x14ac:dyDescent="0.2">
      <c r="A40">
        <v>7.4</v>
      </c>
      <c r="B40" t="s">
        <v>4</v>
      </c>
    </row>
    <row r="41" spans="1:2" x14ac:dyDescent="0.2">
      <c r="A41">
        <v>7.4</v>
      </c>
      <c r="B41" t="s">
        <v>4</v>
      </c>
    </row>
    <row r="42" spans="1:2" x14ac:dyDescent="0.2">
      <c r="A42">
        <v>7.5</v>
      </c>
      <c r="B42" t="s">
        <v>4</v>
      </c>
    </row>
    <row r="43" spans="1:2" x14ac:dyDescent="0.2">
      <c r="A43">
        <v>8.5</v>
      </c>
      <c r="B43" t="s">
        <v>4</v>
      </c>
    </row>
    <row r="44" spans="1:2" x14ac:dyDescent="0.2">
      <c r="A44">
        <v>1.4</v>
      </c>
      <c r="B44" t="s">
        <v>5</v>
      </c>
    </row>
    <row r="45" spans="1:2" x14ac:dyDescent="0.2">
      <c r="A45">
        <v>2.1</v>
      </c>
      <c r="B45" t="s">
        <v>5</v>
      </c>
    </row>
    <row r="46" spans="1:2" x14ac:dyDescent="0.2">
      <c r="A46">
        <v>2.4</v>
      </c>
      <c r="B46" t="s">
        <v>5</v>
      </c>
    </row>
    <row r="47" spans="1:2" x14ac:dyDescent="0.2">
      <c r="A47">
        <v>2.9</v>
      </c>
      <c r="B47" t="s">
        <v>5</v>
      </c>
    </row>
    <row r="48" spans="1:2" x14ac:dyDescent="0.2">
      <c r="A48">
        <v>3.4</v>
      </c>
      <c r="B48" t="s">
        <v>5</v>
      </c>
    </row>
    <row r="49" spans="1:2" x14ac:dyDescent="0.2">
      <c r="A49">
        <v>3.7</v>
      </c>
      <c r="B49" t="s">
        <v>5</v>
      </c>
    </row>
    <row r="50" spans="1:2" x14ac:dyDescent="0.2">
      <c r="A50">
        <v>3.9</v>
      </c>
      <c r="B50" t="s">
        <v>5</v>
      </c>
    </row>
    <row r="51" spans="1:2" x14ac:dyDescent="0.2">
      <c r="A51">
        <v>4.2</v>
      </c>
      <c r="B51" t="s">
        <v>5</v>
      </c>
    </row>
    <row r="52" spans="1:2" x14ac:dyDescent="0.2">
      <c r="A52">
        <v>4.3</v>
      </c>
      <c r="B52" t="s">
        <v>5</v>
      </c>
    </row>
    <row r="53" spans="1:2" x14ac:dyDescent="0.2">
      <c r="A53">
        <v>4.7</v>
      </c>
      <c r="B53" t="s">
        <v>5</v>
      </c>
    </row>
    <row r="54" spans="1:2" x14ac:dyDescent="0.2">
      <c r="A54">
        <v>5.5</v>
      </c>
      <c r="B54" t="s">
        <v>5</v>
      </c>
    </row>
    <row r="55" spans="1:2" x14ac:dyDescent="0.2">
      <c r="A55">
        <v>5.8</v>
      </c>
      <c r="B55" t="s">
        <v>5</v>
      </c>
    </row>
    <row r="56" spans="1:2" x14ac:dyDescent="0.2">
      <c r="A56">
        <v>5.9</v>
      </c>
      <c r="B56" t="s">
        <v>5</v>
      </c>
    </row>
    <row r="57" spans="1:2" x14ac:dyDescent="0.2">
      <c r="A57">
        <v>6.5</v>
      </c>
      <c r="B57" t="s">
        <v>5</v>
      </c>
    </row>
    <row r="58" spans="1:2" x14ac:dyDescent="0.2">
      <c r="A58">
        <v>1.7</v>
      </c>
      <c r="B58" t="s">
        <v>6</v>
      </c>
    </row>
    <row r="59" spans="1:2" x14ac:dyDescent="0.2">
      <c r="A59">
        <v>2.8</v>
      </c>
      <c r="B59" t="s">
        <v>6</v>
      </c>
    </row>
    <row r="60" spans="1:2" x14ac:dyDescent="0.2">
      <c r="A60">
        <v>3.5</v>
      </c>
      <c r="B60" t="s">
        <v>6</v>
      </c>
    </row>
    <row r="61" spans="1:2" x14ac:dyDescent="0.2">
      <c r="A61">
        <v>4.7</v>
      </c>
      <c r="B61" t="s">
        <v>6</v>
      </c>
    </row>
    <row r="62" spans="1:2" x14ac:dyDescent="0.2">
      <c r="A62">
        <v>4.8</v>
      </c>
      <c r="B62" t="s">
        <v>6</v>
      </c>
    </row>
    <row r="63" spans="1:2" x14ac:dyDescent="0.2">
      <c r="A63">
        <v>5</v>
      </c>
      <c r="B63" t="s">
        <v>6</v>
      </c>
    </row>
    <row r="64" spans="1:2" x14ac:dyDescent="0.2">
      <c r="A64">
        <v>5.3</v>
      </c>
      <c r="B64" t="s">
        <v>6</v>
      </c>
    </row>
    <row r="65" spans="1:2" x14ac:dyDescent="0.2">
      <c r="A65">
        <v>6.1</v>
      </c>
      <c r="B65" t="s">
        <v>6</v>
      </c>
    </row>
    <row r="66" spans="1:2" x14ac:dyDescent="0.2">
      <c r="A66">
        <v>6.1</v>
      </c>
      <c r="B66" t="s">
        <v>6</v>
      </c>
    </row>
    <row r="67" spans="1:2" x14ac:dyDescent="0.2">
      <c r="A67">
        <v>6.2</v>
      </c>
      <c r="B67" t="s">
        <v>6</v>
      </c>
    </row>
    <row r="68" spans="1:2" x14ac:dyDescent="0.2">
      <c r="A68">
        <v>6.4</v>
      </c>
      <c r="B68" t="s">
        <v>6</v>
      </c>
    </row>
    <row r="69" spans="1:2" x14ac:dyDescent="0.2">
      <c r="A69">
        <v>7.2</v>
      </c>
      <c r="B69" t="s">
        <v>6</v>
      </c>
    </row>
    <row r="70" spans="1:2" x14ac:dyDescent="0.2">
      <c r="A70">
        <v>7.4</v>
      </c>
      <c r="B70" t="s">
        <v>6</v>
      </c>
    </row>
    <row r="71" spans="1:2" x14ac:dyDescent="0.2">
      <c r="A71">
        <v>7.6</v>
      </c>
      <c r="B71" t="s">
        <v>6</v>
      </c>
    </row>
  </sheetData>
  <mergeCells count="1">
    <mergeCell ref="C10:F1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31" sqref="F31"/>
    </sheetView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Sean_Kennedy_HW6_Statistics</vt:lpstr>
      <vt:lpstr>LSD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Kennedy</dc:creator>
  <cp:lastModifiedBy>Sean Kennedy</cp:lastModifiedBy>
  <dcterms:created xsi:type="dcterms:W3CDTF">2019-07-15T00:37:24Z</dcterms:created>
  <dcterms:modified xsi:type="dcterms:W3CDTF">2019-07-15T23:50:23Z</dcterms:modified>
</cp:coreProperties>
</file>